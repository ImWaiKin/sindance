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1410" documentId="11_DB8738F06EE1B9B9B490F4B1021FCD25961CAC48" xr6:coauthVersionLast="47" xr6:coauthVersionMax="47" xr10:uidLastSave="{75FCA235-CB8E-4C53-A1C9-4964B4D2466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O3" i="1"/>
  <c r="L3" i="1"/>
  <c r="P2" i="1"/>
  <c r="O2" i="1"/>
  <c r="L2" i="1"/>
</calcChain>
</file>

<file path=xl/sharedStrings.xml><?xml version="1.0" encoding="utf-8"?>
<sst xmlns="http://schemas.openxmlformats.org/spreadsheetml/2006/main" count="584" uniqueCount="120">
  <si>
    <t>Participant number</t>
  </si>
  <si>
    <t>Gender</t>
  </si>
  <si>
    <t>Age</t>
  </si>
  <si>
    <t>Marital status</t>
  </si>
  <si>
    <t>Education level</t>
  </si>
  <si>
    <t>Employment status</t>
  </si>
  <si>
    <t>Ethnic group</t>
  </si>
  <si>
    <t>Weight</t>
  </si>
  <si>
    <t>Height</t>
  </si>
  <si>
    <t>Number of falls in the past one month</t>
  </si>
  <si>
    <t>Activity level</t>
  </si>
  <si>
    <t>FRT</t>
  </si>
  <si>
    <t>TUG</t>
  </si>
  <si>
    <t>FTSTS</t>
  </si>
  <si>
    <t>Handgrip R</t>
  </si>
  <si>
    <t>Handgrip L</t>
  </si>
  <si>
    <t>MoCA</t>
  </si>
  <si>
    <t>E01</t>
  </si>
  <si>
    <t>F</t>
  </si>
  <si>
    <t>Married</t>
  </si>
  <si>
    <t>Primary School</t>
  </si>
  <si>
    <t>Retired</t>
  </si>
  <si>
    <t>Chinese</t>
  </si>
  <si>
    <t>Moderately active</t>
  </si>
  <si>
    <t>E02</t>
  </si>
  <si>
    <t>No formal education</t>
  </si>
  <si>
    <t>E03</t>
  </si>
  <si>
    <t xml:space="preserve">Separated/Divorced/Widowed </t>
  </si>
  <si>
    <t>E04</t>
  </si>
  <si>
    <t>Lightly Active</t>
  </si>
  <si>
    <t>E05</t>
  </si>
  <si>
    <t>E06</t>
  </si>
  <si>
    <t>M</t>
  </si>
  <si>
    <t>married</t>
  </si>
  <si>
    <t>Secondary School</t>
  </si>
  <si>
    <t>Very Active</t>
  </si>
  <si>
    <t>E07</t>
  </si>
  <si>
    <t>Not Working</t>
  </si>
  <si>
    <t>E08</t>
  </si>
  <si>
    <t>E09</t>
  </si>
  <si>
    <t>Sedentary</t>
  </si>
  <si>
    <t>E10</t>
  </si>
  <si>
    <t>ITE/Polytechnic/Junior College</t>
  </si>
  <si>
    <t>E11</t>
  </si>
  <si>
    <t>Single</t>
  </si>
  <si>
    <t>Working on a part-time basis</t>
  </si>
  <si>
    <t>E12</t>
  </si>
  <si>
    <t xml:space="preserve">separated/Divorced/Widowed 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</si>
  <si>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</si>
  <si>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</si>
  <si>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</si>
  <si>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</si>
  <si>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</si>
  <si>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</si>
  <si>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</si>
  <si>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</si>
  <si>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</si>
  <si>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</si>
  <si>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</si>
  <si>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</si>
  <si>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</si>
  <si>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</si>
  <si>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</si>
  <si>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</si>
  <si>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</si>
  <si>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</si>
  <si>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</si>
  <si>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University and above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</si>
  <si>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</si>
  <si>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</si>
  <si>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</si>
  <si>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</si>
  <si>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</si>
  <si>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</si>
  <si>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</si>
  <si>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</si>
  <si>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</si>
  <si>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</si>
  <si>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</si>
  <si>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</si>
  <si>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</si>
  <si>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</si>
  <si>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</si>
  <si>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</si>
  <si>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</si>
  <si>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</si>
  <si>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</si>
  <si>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</si>
  <si>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</si>
  <si>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</si>
  <si>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</si>
  <si>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</si>
  <si>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</si>
  <si>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</si>
  <si>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</si>
  <si>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</si>
  <si>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</si>
  <si>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</si>
  <si>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</si>
  <si>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</si>
  <si>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</si>
  <si>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</si>
  <si>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</si>
  <si>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</si>
  <si>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</si>
  <si>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</si>
  <si>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</si>
  <si>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</si>
  <si>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</si>
  <si>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</si>
  <si>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Malay</t>
  </si>
  <si>
    <t>E74</t>
  </si>
  <si>
    <t>E75</t>
  </si>
  <si>
    <t>E76</t>
  </si>
  <si>
    <t>Indian</t>
  </si>
  <si>
    <t>E77</t>
  </si>
  <si>
    <t>E78</t>
  </si>
  <si>
    <t>E79</t>
  </si>
  <si>
    <t>E80</t>
  </si>
  <si>
    <t>E81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</si>
</sst>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J66" workbookViewId="0">
      <selection activeCell="Q76" sqref="Q76"/>
    </sheetView>
  </sheetViews>
  <sheetFormatPr defaultRowHeight="15"/>
  <cols>
    <col min="1" max="1" width="17.28515625" bestFit="1" customWidth="1"/>
    <col min="2" max="3" width="17.28515625" customWidth="1"/>
    <col min="4" max="4" width="28.7109375" customWidth="1"/>
    <col min="5" max="5" width="19.85546875" customWidth="1"/>
    <col min="6" max="11" width="17.28515625" customWidth="1"/>
    <col min="12" max="12" width="10.7109375" customWidth="1"/>
    <col min="15" max="15" width="12" customWidth="1"/>
    <col min="16" max="16" width="10.28515625" customWidth="1"/>
  </cols>
  <sheetData>
    <row r="1" spans="1:17" ht="29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70</v>
      </c>
      <c r="D2" t="s">
        <v>19</v>
      </c>
      <c r="E2" t="s">
        <v>20</v>
      </c>
      <c r="F2" t="s">
        <v>21</v>
      </c>
      <c r="G2" t="s">
        <v>22</v>
      </c>
      <c r="H2">
        <v>82.4</v>
      </c>
      <c r="I2">
        <v>147</v>
      </c>
      <c r="J2">
        <v>0</v>
      </c>
      <c r="K2" t="s">
        <v>23</v>
      </c>
      <c r="L2">
        <f>(20+19)/2</f>
        <v>19.5</v>
      </c>
      <c r="M2">
        <v>11.71</v>
      </c>
      <c r="N2">
        <v>9.17</v>
      </c>
      <c r="O2" s="2">
        <f>(17+17.6+16.2)/3</f>
        <v>16.933333333333334</v>
      </c>
      <c r="P2" s="2">
        <f>(13.8+14.9+15.3)/3</f>
        <v>14.666666666666666</v>
      </c>
      <c r="Q2">
        <v>26</v>
      </c>
    </row>
    <row r="3" spans="1:17">
      <c r="A3" t="s">
        <v>24</v>
      </c>
      <c r="B3" t="s">
        <v>18</v>
      </c>
      <c r="C3">
        <v>95</v>
      </c>
      <c r="D3" t="s">
        <v>19</v>
      </c>
      <c r="E3" s="1" t="s">
        <v>25</v>
      </c>
      <c r="F3" t="s">
        <v>21</v>
      </c>
      <c r="G3" t="s">
        <v>22</v>
      </c>
      <c r="H3">
        <v>58.2</v>
      </c>
      <c r="I3">
        <v>153</v>
      </c>
      <c r="J3">
        <v>0</v>
      </c>
      <c r="K3" t="s">
        <v>23</v>
      </c>
      <c r="L3" s="1">
        <f>(30.2+35.4)/2</f>
        <v>32.799999999999997</v>
      </c>
      <c r="M3">
        <v>13.31</v>
      </c>
      <c r="N3">
        <v>15.25</v>
      </c>
      <c r="O3">
        <f>(19.4+20.6+20.3)/3</f>
        <v>20.099999999999998</v>
      </c>
      <c r="P3" s="2">
        <f>(17.8+17.5+17.3)/3</f>
        <v>17.533333333333331</v>
      </c>
      <c r="Q3">
        <v>17</v>
      </c>
    </row>
    <row r="4" spans="1:17">
      <c r="A4" t="s">
        <v>26</v>
      </c>
      <c r="B4" t="s">
        <v>18</v>
      </c>
      <c r="C4">
        <v>84</v>
      </c>
      <c r="D4" s="1" t="s">
        <v>27</v>
      </c>
      <c r="E4" t="s">
        <v>20</v>
      </c>
      <c r="F4" t="s">
        <v>21</v>
      </c>
      <c r="G4" t="s">
        <v>22</v>
      </c>
      <c r="H4">
        <v>45.8</v>
      </c>
      <c r="I4">
        <v>150</v>
      </c>
      <c r="J4">
        <v>0</v>
      </c>
      <c r="K4" t="s">
        <v>23</v>
      </c>
      <c r="L4">
        <v>17.5</v>
      </c>
      <c r="M4">
        <v>7.64</v>
      </c>
      <c r="N4">
        <v>8.91</v>
      </c>
      <c r="O4">
        <v>17.559999999999999</v>
      </c>
      <c r="P4">
        <v>16.559999999999999</v>
      </c>
      <c r="Q4">
        <v>22</v>
      </c>
    </row>
    <row r="5" spans="1:17">
      <c r="A5" t="s">
        <v>28</v>
      </c>
      <c r="B5" t="s">
        <v>18</v>
      </c>
      <c r="C5">
        <v>78</v>
      </c>
      <c r="D5" t="s">
        <v>19</v>
      </c>
      <c r="E5" t="s">
        <v>20</v>
      </c>
      <c r="F5" t="s">
        <v>21</v>
      </c>
      <c r="G5" t="s">
        <v>22</v>
      </c>
      <c r="H5">
        <v>47.6</v>
      </c>
      <c r="I5">
        <v>136</v>
      </c>
      <c r="J5">
        <v>0</v>
      </c>
      <c r="K5" t="s">
        <v>29</v>
      </c>
      <c r="L5">
        <v>20.2</v>
      </c>
      <c r="M5">
        <v>10.39</v>
      </c>
      <c r="N5">
        <v>15.21</v>
      </c>
      <c r="O5">
        <v>14.6</v>
      </c>
      <c r="P5">
        <v>11.5</v>
      </c>
      <c r="Q5">
        <v>21</v>
      </c>
    </row>
    <row r="6" spans="1:17">
      <c r="A6" t="s">
        <v>30</v>
      </c>
      <c r="B6" t="s">
        <v>18</v>
      </c>
      <c r="C6">
        <v>89</v>
      </c>
      <c r="D6" t="s">
        <v>27</v>
      </c>
      <c r="E6" t="s">
        <v>20</v>
      </c>
      <c r="F6" t="s">
        <v>21</v>
      </c>
      <c r="G6" t="s">
        <v>22</v>
      </c>
      <c r="J6">
        <v>0</v>
      </c>
      <c r="K6" t="s">
        <v>23</v>
      </c>
      <c r="L6">
        <v>24</v>
      </c>
      <c r="M6">
        <v>12.99</v>
      </c>
      <c r="N6">
        <v>14.56</v>
      </c>
      <c r="O6">
        <v>17.2</v>
      </c>
      <c r="P6">
        <v>13.96</v>
      </c>
      <c r="Q6">
        <v>22</v>
      </c>
    </row>
    <row r="7" spans="1:17">
      <c r="A7" t="s">
        <v>31</v>
      </c>
      <c r="B7" t="s">
        <v>32</v>
      </c>
      <c r="C7">
        <v>76</v>
      </c>
      <c r="D7" t="s">
        <v>33</v>
      </c>
      <c r="E7" t="s">
        <v>34</v>
      </c>
      <c r="F7" t="s">
        <v>21</v>
      </c>
      <c r="G7" t="s">
        <v>22</v>
      </c>
      <c r="H7">
        <v>53.5</v>
      </c>
      <c r="I7">
        <v>162</v>
      </c>
      <c r="J7">
        <v>0</v>
      </c>
      <c r="K7" t="s">
        <v>35</v>
      </c>
      <c r="L7">
        <v>22</v>
      </c>
      <c r="M7">
        <v>5.73</v>
      </c>
      <c r="N7">
        <v>6.41</v>
      </c>
      <c r="O7">
        <v>28.2</v>
      </c>
      <c r="P7">
        <v>23.66</v>
      </c>
      <c r="Q7">
        <v>28</v>
      </c>
    </row>
    <row r="8" spans="1:17">
      <c r="A8" t="s">
        <v>36</v>
      </c>
      <c r="B8" t="s">
        <v>18</v>
      </c>
      <c r="C8">
        <v>71</v>
      </c>
      <c r="D8" t="s">
        <v>33</v>
      </c>
      <c r="E8" t="s">
        <v>34</v>
      </c>
      <c r="F8" t="s">
        <v>37</v>
      </c>
      <c r="G8" t="s">
        <v>22</v>
      </c>
      <c r="H8">
        <v>56</v>
      </c>
      <c r="I8">
        <v>153</v>
      </c>
      <c r="J8">
        <v>0</v>
      </c>
      <c r="K8" t="s">
        <v>23</v>
      </c>
      <c r="L8">
        <v>23.5</v>
      </c>
      <c r="M8">
        <v>11.83</v>
      </c>
      <c r="N8">
        <v>11.68</v>
      </c>
      <c r="O8">
        <v>17.36</v>
      </c>
      <c r="P8">
        <v>17.13</v>
      </c>
      <c r="Q8">
        <v>29</v>
      </c>
    </row>
    <row r="9" spans="1:17">
      <c r="A9" t="s">
        <v>38</v>
      </c>
      <c r="B9" t="s">
        <v>18</v>
      </c>
      <c r="C9">
        <v>76</v>
      </c>
      <c r="D9" t="s">
        <v>19</v>
      </c>
      <c r="E9" t="s">
        <v>20</v>
      </c>
      <c r="F9" t="s">
        <v>21</v>
      </c>
      <c r="G9" t="s">
        <v>22</v>
      </c>
      <c r="H9">
        <v>75.599999999999994</v>
      </c>
      <c r="I9">
        <v>153</v>
      </c>
      <c r="J9">
        <v>0</v>
      </c>
      <c r="K9" t="s">
        <v>29</v>
      </c>
      <c r="L9">
        <v>23</v>
      </c>
      <c r="M9">
        <v>10.18</v>
      </c>
      <c r="N9">
        <v>12.71</v>
      </c>
      <c r="O9">
        <v>15.5</v>
      </c>
      <c r="P9">
        <v>17.43</v>
      </c>
      <c r="Q9">
        <v>28</v>
      </c>
    </row>
    <row r="10" spans="1:17">
      <c r="A10" t="s">
        <v>39</v>
      </c>
      <c r="B10" t="s">
        <v>18</v>
      </c>
      <c r="C10">
        <v>78</v>
      </c>
      <c r="D10" t="s">
        <v>33</v>
      </c>
      <c r="E10" t="s">
        <v>25</v>
      </c>
      <c r="F10" t="s">
        <v>21</v>
      </c>
      <c r="G10" t="s">
        <v>22</v>
      </c>
      <c r="H10">
        <v>72.5</v>
      </c>
      <c r="I10">
        <v>157</v>
      </c>
      <c r="J10">
        <v>0</v>
      </c>
      <c r="K10" t="s">
        <v>40</v>
      </c>
      <c r="L10">
        <v>10</v>
      </c>
      <c r="M10">
        <v>8.51</v>
      </c>
      <c r="N10">
        <v>9.98</v>
      </c>
      <c r="O10">
        <v>30.5</v>
      </c>
      <c r="P10">
        <v>27.66</v>
      </c>
      <c r="Q10">
        <v>24</v>
      </c>
    </row>
    <row r="11" spans="1:17" ht="29.25">
      <c r="A11" t="s">
        <v>41</v>
      </c>
      <c r="B11" t="s">
        <v>32</v>
      </c>
      <c r="C11">
        <v>63</v>
      </c>
      <c r="D11" t="s">
        <v>27</v>
      </c>
      <c r="E11" s="1" t="s">
        <v>42</v>
      </c>
      <c r="F11" t="s">
        <v>37</v>
      </c>
      <c r="G11" t="s">
        <v>22</v>
      </c>
      <c r="H11">
        <v>69</v>
      </c>
      <c r="I11">
        <v>163</v>
      </c>
      <c r="J11">
        <v>0</v>
      </c>
      <c r="K11" t="s">
        <v>29</v>
      </c>
      <c r="L11">
        <v>22.25</v>
      </c>
      <c r="M11">
        <v>8.85</v>
      </c>
      <c r="N11">
        <v>13.36</v>
      </c>
      <c r="O11">
        <v>27.86</v>
      </c>
      <c r="P11">
        <v>67.2</v>
      </c>
      <c r="Q11">
        <v>27</v>
      </c>
    </row>
    <row r="12" spans="1:17" ht="29.25">
      <c r="A12" t="s">
        <v>43</v>
      </c>
      <c r="B12" t="s">
        <v>32</v>
      </c>
      <c r="C12">
        <v>72</v>
      </c>
      <c r="D12" t="s">
        <v>44</v>
      </c>
      <c r="E12" t="s">
        <v>20</v>
      </c>
      <c r="F12" s="1" t="s">
        <v>45</v>
      </c>
      <c r="G12" t="s">
        <v>22</v>
      </c>
      <c r="H12">
        <v>62</v>
      </c>
      <c r="I12">
        <v>167</v>
      </c>
      <c r="J12">
        <v>0</v>
      </c>
      <c r="K12" t="s">
        <v>29</v>
      </c>
      <c r="L12">
        <v>19.75</v>
      </c>
      <c r="M12">
        <v>7.1</v>
      </c>
      <c r="N12">
        <v>10.9</v>
      </c>
      <c r="O12">
        <v>83.6</v>
      </c>
      <c r="P12">
        <v>28.93</v>
      </c>
      <c r="Q12">
        <v>28</v>
      </c>
    </row>
    <row r="13" spans="1:17" ht="29.25">
      <c r="A13" t="s">
        <v>46</v>
      </c>
      <c r="B13" t="s">
        <v>18</v>
      </c>
      <c r="C13">
        <v>69</v>
      </c>
      <c r="D13" t="s">
        <v>47</v>
      </c>
      <c r="E13" t="s">
        <v>34</v>
      </c>
      <c r="F13" s="1" t="s">
        <v>45</v>
      </c>
      <c r="G13" t="s">
        <v>22</v>
      </c>
      <c r="H13">
        <v>49</v>
      </c>
      <c r="I13">
        <v>164</v>
      </c>
      <c r="J13">
        <v>0</v>
      </c>
      <c r="K13" t="s">
        <v>29</v>
      </c>
      <c r="L13">
        <v>31</v>
      </c>
      <c r="M13">
        <v>5.65</v>
      </c>
      <c r="N13">
        <v>9.68</v>
      </c>
      <c r="O13">
        <v>26.93</v>
      </c>
      <c r="P13">
        <v>26.16</v>
      </c>
      <c r="Q13">
        <v>29</v>
      </c>
    </row>
    <row r="14" spans="1:17">
      <c r="A14" t="s">
        <v>48</v>
      </c>
      <c r="B14" t="s">
        <v>18</v>
      </c>
      <c r="C14">
        <v>74</v>
      </c>
      <c r="D14" t="s">
        <v>33</v>
      </c>
      <c r="E14" t="s">
        <v>20</v>
      </c>
      <c r="F14" t="s">
        <v>37</v>
      </c>
      <c r="G14" t="s">
        <v>22</v>
      </c>
      <c r="H14">
        <v>68.900000000000006</v>
      </c>
      <c r="I14">
        <v>151</v>
      </c>
      <c r="J14">
        <v>0</v>
      </c>
      <c r="K14" t="s">
        <v>23</v>
      </c>
      <c r="L14">
        <v>16</v>
      </c>
      <c r="M14">
        <v>9.0299999999999994</v>
      </c>
      <c r="N14">
        <v>13.41</v>
      </c>
      <c r="O14">
        <v>21.5</v>
      </c>
      <c r="P14">
        <v>23.26</v>
      </c>
      <c r="Q14">
        <v>26</v>
      </c>
    </row>
    <row r="15" spans="1:17">
      <c r="A15" t="s">
        <v>49</v>
      </c>
      <c r="B15" t="s">
        <v>32</v>
      </c>
      <c r="C15">
        <v>84</v>
      </c>
      <c r="D15" t="s">
        <v>33</v>
      </c>
      <c r="E15" t="s">
        <v>20</v>
      </c>
      <c r="F15" t="s">
        <v>21</v>
      </c>
      <c r="G15" t="s">
        <v>22</v>
      </c>
      <c r="H15">
        <v>64</v>
      </c>
      <c r="I15">
        <v>166</v>
      </c>
      <c r="J15">
        <v>0</v>
      </c>
      <c r="K15" t="s">
        <v>23</v>
      </c>
      <c r="L15">
        <v>17.5</v>
      </c>
      <c r="M15">
        <v>8.7100000000000009</v>
      </c>
      <c r="N15">
        <v>10.4</v>
      </c>
      <c r="O15">
        <v>32.26</v>
      </c>
      <c r="P15">
        <v>29.93</v>
      </c>
      <c r="Q15">
        <v>23</v>
      </c>
    </row>
    <row r="16" spans="1:17">
      <c r="A16" t="s">
        <v>50</v>
      </c>
      <c r="B16" t="s">
        <v>18</v>
      </c>
      <c r="C16">
        <v>79</v>
      </c>
      <c r="D16" t="s">
        <v>19</v>
      </c>
      <c r="E16" t="s">
        <v>25</v>
      </c>
      <c r="F16" t="s">
        <v>37</v>
      </c>
      <c r="G16" t="s">
        <v>22</v>
      </c>
      <c r="H16">
        <v>53</v>
      </c>
      <c r="I16">
        <v>155</v>
      </c>
      <c r="J16">
        <v>0</v>
      </c>
      <c r="K16" t="s">
        <v>23</v>
      </c>
      <c r="L16">
        <v>11</v>
      </c>
      <c r="M16">
        <v>10.01</v>
      </c>
      <c r="N16">
        <v>13.7</v>
      </c>
      <c r="O16">
        <v>22.93</v>
      </c>
      <c r="P16">
        <v>21.4</v>
      </c>
      <c r="Q16">
        <v>16</v>
      </c>
    </row>
    <row r="17" spans="1:17">
      <c r="A17" t="s">
        <v>51</v>
      </c>
      <c r="B17" t="s">
        <v>18</v>
      </c>
      <c r="C17">
        <v>76</v>
      </c>
      <c r="D17" t="s">
        <v>19</v>
      </c>
      <c r="E17" t="s">
        <v>25</v>
      </c>
      <c r="F17" t="s">
        <v>21</v>
      </c>
      <c r="G17" t="s">
        <v>22</v>
      </c>
      <c r="H17">
        <v>57.4</v>
      </c>
      <c r="I17">
        <v>146</v>
      </c>
      <c r="J17">
        <v>0</v>
      </c>
      <c r="K17" t="s">
        <v>23</v>
      </c>
      <c r="L17">
        <v>12</v>
      </c>
      <c r="M17">
        <v>18.350000000000001</v>
      </c>
      <c r="N17">
        <v>16.850000000000001</v>
      </c>
      <c r="O17">
        <v>20.399999999999999</v>
      </c>
      <c r="P17">
        <v>20.53</v>
      </c>
      <c r="Q17">
        <v>11</v>
      </c>
    </row>
    <row r="18" spans="1:17">
      <c r="A18" t="s">
        <v>52</v>
      </c>
      <c r="B18" t="s">
        <v>18</v>
      </c>
      <c r="C18">
        <v>83</v>
      </c>
      <c r="D18" t="s">
        <v>27</v>
      </c>
      <c r="E18" t="s">
        <v>25</v>
      </c>
      <c r="F18" t="s">
        <v>21</v>
      </c>
      <c r="G18" t="s">
        <v>22</v>
      </c>
      <c r="H18">
        <v>48</v>
      </c>
      <c r="I18">
        <v>150</v>
      </c>
      <c r="J18">
        <v>0</v>
      </c>
      <c r="K18" t="s">
        <v>29</v>
      </c>
      <c r="L18">
        <v>19.5</v>
      </c>
      <c r="M18">
        <v>12.23</v>
      </c>
      <c r="N18">
        <v>16.98</v>
      </c>
      <c r="O18">
        <v>12.3</v>
      </c>
      <c r="P18">
        <v>11.9</v>
      </c>
      <c r="Q18">
        <v>20</v>
      </c>
    </row>
    <row r="19" spans="1:17">
      <c r="A19" t="s">
        <v>53</v>
      </c>
      <c r="B19" t="s">
        <v>18</v>
      </c>
      <c r="C19">
        <v>68</v>
      </c>
      <c r="D19" t="s">
        <v>19</v>
      </c>
      <c r="E19" t="s">
        <v>20</v>
      </c>
      <c r="F19" t="s">
        <v>21</v>
      </c>
      <c r="G19" t="s">
        <v>22</v>
      </c>
      <c r="H19">
        <v>54.7</v>
      </c>
      <c r="I19">
        <v>155</v>
      </c>
      <c r="J19">
        <v>0</v>
      </c>
      <c r="K19" t="s">
        <v>23</v>
      </c>
      <c r="L19">
        <v>28</v>
      </c>
      <c r="M19">
        <v>7.9</v>
      </c>
      <c r="N19">
        <v>9.5</v>
      </c>
      <c r="O19">
        <v>22.86</v>
      </c>
      <c r="P19">
        <v>21.63</v>
      </c>
      <c r="Q19">
        <v>30</v>
      </c>
    </row>
    <row r="20" spans="1:17">
      <c r="A20" t="s">
        <v>54</v>
      </c>
      <c r="B20" t="s">
        <v>18</v>
      </c>
      <c r="C20">
        <v>72</v>
      </c>
      <c r="D20" t="s">
        <v>27</v>
      </c>
      <c r="E20" t="s">
        <v>20</v>
      </c>
      <c r="F20" t="s">
        <v>21</v>
      </c>
      <c r="G20" t="s">
        <v>22</v>
      </c>
      <c r="H20">
        <v>63</v>
      </c>
      <c r="I20">
        <v>160</v>
      </c>
      <c r="J20">
        <v>0</v>
      </c>
      <c r="K20" t="s">
        <v>23</v>
      </c>
      <c r="L20">
        <v>12.5</v>
      </c>
      <c r="M20">
        <v>11.53</v>
      </c>
      <c r="N20">
        <v>9.7799999999999994</v>
      </c>
      <c r="O20">
        <v>15.33</v>
      </c>
      <c r="P20">
        <v>15.9</v>
      </c>
      <c r="Q20">
        <v>26</v>
      </c>
    </row>
    <row r="21" spans="1:17">
      <c r="A21" t="s">
        <v>55</v>
      </c>
      <c r="B21" t="s">
        <v>18</v>
      </c>
      <c r="C21">
        <v>75</v>
      </c>
      <c r="D21" t="s">
        <v>44</v>
      </c>
      <c r="E21" t="s">
        <v>20</v>
      </c>
      <c r="F21" t="s">
        <v>21</v>
      </c>
      <c r="G21" t="s">
        <v>22</v>
      </c>
      <c r="H21">
        <v>68.3</v>
      </c>
      <c r="I21">
        <v>153</v>
      </c>
      <c r="J21">
        <v>0</v>
      </c>
      <c r="K21" t="s">
        <v>23</v>
      </c>
      <c r="L21">
        <v>20.5</v>
      </c>
      <c r="M21">
        <v>16.43</v>
      </c>
      <c r="N21">
        <v>18.27</v>
      </c>
      <c r="O21">
        <v>11.93</v>
      </c>
      <c r="P21">
        <v>15.33</v>
      </c>
      <c r="Q21">
        <v>19</v>
      </c>
    </row>
    <row r="22" spans="1:17">
      <c r="A22" t="s">
        <v>56</v>
      </c>
      <c r="B22" t="s">
        <v>32</v>
      </c>
      <c r="C22">
        <v>67</v>
      </c>
      <c r="D22" t="s">
        <v>27</v>
      </c>
      <c r="E22" t="s">
        <v>20</v>
      </c>
      <c r="F22" t="s">
        <v>21</v>
      </c>
      <c r="G22" t="s">
        <v>22</v>
      </c>
      <c r="H22">
        <v>72</v>
      </c>
      <c r="I22">
        <v>168</v>
      </c>
      <c r="J22">
        <v>0</v>
      </c>
      <c r="K22" t="s">
        <v>40</v>
      </c>
      <c r="L22">
        <v>31.5</v>
      </c>
      <c r="M22">
        <v>13.53</v>
      </c>
      <c r="N22">
        <v>10.95</v>
      </c>
      <c r="O22">
        <v>25.66</v>
      </c>
      <c r="P22">
        <v>20.8</v>
      </c>
      <c r="Q22">
        <v>25</v>
      </c>
    </row>
    <row r="23" spans="1:17" ht="29.25">
      <c r="A23" t="s">
        <v>57</v>
      </c>
      <c r="B23" t="s">
        <v>18</v>
      </c>
      <c r="C23">
        <v>65</v>
      </c>
      <c r="D23" t="s">
        <v>27</v>
      </c>
      <c r="E23" t="s">
        <v>34</v>
      </c>
      <c r="F23" s="1" t="s">
        <v>45</v>
      </c>
      <c r="G23" t="s">
        <v>22</v>
      </c>
      <c r="H23">
        <v>60</v>
      </c>
      <c r="I23">
        <v>153</v>
      </c>
      <c r="J23">
        <v>0</v>
      </c>
      <c r="K23" t="s">
        <v>29</v>
      </c>
      <c r="L23">
        <v>22.5</v>
      </c>
      <c r="M23">
        <v>8.9600000000000009</v>
      </c>
      <c r="N23">
        <v>11</v>
      </c>
      <c r="O23">
        <v>16.100000000000001</v>
      </c>
      <c r="P23">
        <v>47.2</v>
      </c>
      <c r="Q23">
        <v>27</v>
      </c>
    </row>
    <row r="24" spans="1:17">
      <c r="A24" t="s">
        <v>58</v>
      </c>
      <c r="B24" t="s">
        <v>18</v>
      </c>
      <c r="C24">
        <v>76</v>
      </c>
      <c r="D24" t="s">
        <v>19</v>
      </c>
      <c r="E24" t="s">
        <v>20</v>
      </c>
      <c r="F24" t="s">
        <v>21</v>
      </c>
      <c r="G24" t="s">
        <v>22</v>
      </c>
      <c r="H24">
        <v>71.2</v>
      </c>
      <c r="I24">
        <v>147.1</v>
      </c>
      <c r="J24">
        <v>0</v>
      </c>
      <c r="K24" t="s">
        <v>40</v>
      </c>
      <c r="L24">
        <v>23</v>
      </c>
      <c r="M24">
        <v>12.68</v>
      </c>
      <c r="N24">
        <v>14.7</v>
      </c>
      <c r="O24">
        <v>12.43</v>
      </c>
      <c r="P24">
        <v>10.43</v>
      </c>
      <c r="Q24">
        <v>21</v>
      </c>
    </row>
    <row r="25" spans="1:17">
      <c r="A25" t="s">
        <v>59</v>
      </c>
      <c r="B25" t="s">
        <v>32</v>
      </c>
      <c r="C25">
        <v>74</v>
      </c>
      <c r="D25" t="s">
        <v>44</v>
      </c>
      <c r="E25" t="s">
        <v>20</v>
      </c>
      <c r="F25" t="s">
        <v>21</v>
      </c>
      <c r="G25" t="s">
        <v>22</v>
      </c>
      <c r="J25">
        <v>0</v>
      </c>
      <c r="K25" t="s">
        <v>29</v>
      </c>
      <c r="L25">
        <v>21</v>
      </c>
      <c r="M25">
        <v>13.58</v>
      </c>
      <c r="N25">
        <v>17.079999999999998</v>
      </c>
      <c r="O25">
        <v>1.6</v>
      </c>
      <c r="P25">
        <v>13.3</v>
      </c>
      <c r="Q25">
        <v>14</v>
      </c>
    </row>
    <row r="26" spans="1:17">
      <c r="A26" t="s">
        <v>60</v>
      </c>
      <c r="B26" t="s">
        <v>18</v>
      </c>
      <c r="C26">
        <v>76</v>
      </c>
      <c r="D26" t="s">
        <v>27</v>
      </c>
      <c r="E26" t="s">
        <v>20</v>
      </c>
      <c r="F26" t="s">
        <v>21</v>
      </c>
      <c r="G26" t="s">
        <v>22</v>
      </c>
      <c r="H26">
        <v>61.9</v>
      </c>
      <c r="I26">
        <v>158</v>
      </c>
      <c r="J26">
        <v>0</v>
      </c>
      <c r="K26" t="s">
        <v>23</v>
      </c>
      <c r="L26">
        <v>29</v>
      </c>
      <c r="M26">
        <v>9.2100000000000009</v>
      </c>
      <c r="N26">
        <v>10</v>
      </c>
      <c r="O26">
        <v>23</v>
      </c>
      <c r="P26">
        <v>21.86</v>
      </c>
      <c r="Q26">
        <v>30</v>
      </c>
    </row>
    <row r="27" spans="1:17">
      <c r="A27" t="s">
        <v>61</v>
      </c>
      <c r="B27" t="s">
        <v>32</v>
      </c>
      <c r="C27">
        <v>82</v>
      </c>
      <c r="D27" t="s">
        <v>19</v>
      </c>
      <c r="E27" t="s">
        <v>34</v>
      </c>
      <c r="F27" t="s">
        <v>21</v>
      </c>
      <c r="G27" t="s">
        <v>22</v>
      </c>
      <c r="H27">
        <v>47</v>
      </c>
      <c r="I27">
        <v>157</v>
      </c>
      <c r="J27">
        <v>0</v>
      </c>
      <c r="K27" t="s">
        <v>23</v>
      </c>
      <c r="L27">
        <v>30</v>
      </c>
      <c r="M27">
        <v>9.5299999999999994</v>
      </c>
      <c r="N27">
        <v>20.38</v>
      </c>
      <c r="O27">
        <v>27.93</v>
      </c>
      <c r="P27">
        <v>34.46</v>
      </c>
      <c r="Q27">
        <v>26</v>
      </c>
    </row>
    <row r="28" spans="1:17">
      <c r="A28" t="s">
        <v>62</v>
      </c>
      <c r="B28" t="s">
        <v>18</v>
      </c>
      <c r="C28">
        <v>79</v>
      </c>
      <c r="D28" t="s">
        <v>27</v>
      </c>
      <c r="E28" t="s">
        <v>25</v>
      </c>
      <c r="F28" t="s">
        <v>21</v>
      </c>
      <c r="G28" t="s">
        <v>22</v>
      </c>
      <c r="H28">
        <v>56.2</v>
      </c>
      <c r="I28">
        <v>149</v>
      </c>
      <c r="J28">
        <v>0</v>
      </c>
      <c r="K28" t="s">
        <v>23</v>
      </c>
      <c r="L28">
        <v>20</v>
      </c>
      <c r="M28">
        <v>7.9</v>
      </c>
      <c r="N28">
        <v>9.98</v>
      </c>
      <c r="O28">
        <v>20.100000000000001</v>
      </c>
      <c r="P28">
        <v>19.13</v>
      </c>
      <c r="Q28">
        <v>22</v>
      </c>
    </row>
    <row r="29" spans="1:17">
      <c r="A29" t="s">
        <v>63</v>
      </c>
      <c r="B29" t="s">
        <v>18</v>
      </c>
      <c r="C29">
        <v>71</v>
      </c>
      <c r="D29" t="s">
        <v>44</v>
      </c>
      <c r="E29" t="s">
        <v>34</v>
      </c>
      <c r="F29" t="s">
        <v>21</v>
      </c>
      <c r="G29" t="s">
        <v>22</v>
      </c>
      <c r="H29">
        <v>49</v>
      </c>
      <c r="I29">
        <v>148</v>
      </c>
      <c r="J29">
        <v>0</v>
      </c>
      <c r="K29" t="s">
        <v>23</v>
      </c>
      <c r="L29">
        <v>25</v>
      </c>
      <c r="M29">
        <v>10.95</v>
      </c>
      <c r="N29">
        <v>10.53</v>
      </c>
      <c r="O29">
        <v>16.63</v>
      </c>
      <c r="P29">
        <v>14.8</v>
      </c>
      <c r="Q29">
        <v>27</v>
      </c>
    </row>
    <row r="30" spans="1:17">
      <c r="A30" t="s">
        <v>64</v>
      </c>
      <c r="B30" t="s">
        <v>32</v>
      </c>
      <c r="C30">
        <v>76</v>
      </c>
      <c r="D30" t="s">
        <v>44</v>
      </c>
      <c r="E30" t="s">
        <v>34</v>
      </c>
      <c r="F30" t="s">
        <v>21</v>
      </c>
      <c r="G30" t="s">
        <v>22</v>
      </c>
      <c r="H30">
        <v>53</v>
      </c>
      <c r="I30">
        <v>168</v>
      </c>
      <c r="J30">
        <v>0</v>
      </c>
      <c r="K30" t="s">
        <v>40</v>
      </c>
      <c r="L30">
        <v>27.5</v>
      </c>
      <c r="M30">
        <v>12.33</v>
      </c>
      <c r="N30">
        <v>18.38</v>
      </c>
      <c r="O30">
        <v>22.5</v>
      </c>
      <c r="P30">
        <v>23.56</v>
      </c>
      <c r="Q30">
        <v>26</v>
      </c>
    </row>
    <row r="31" spans="1:17">
      <c r="A31" t="s">
        <v>65</v>
      </c>
      <c r="B31" t="s">
        <v>18</v>
      </c>
      <c r="C31">
        <v>89</v>
      </c>
      <c r="D31" t="s">
        <v>44</v>
      </c>
      <c r="E31" t="s">
        <v>20</v>
      </c>
      <c r="F31" t="s">
        <v>21</v>
      </c>
      <c r="G31" t="s">
        <v>22</v>
      </c>
      <c r="H31">
        <v>54.4</v>
      </c>
      <c r="I31">
        <v>153</v>
      </c>
      <c r="J31">
        <v>0</v>
      </c>
      <c r="K31" t="s">
        <v>23</v>
      </c>
      <c r="L31">
        <v>18.5</v>
      </c>
      <c r="M31">
        <v>12.4</v>
      </c>
      <c r="N31">
        <v>17.41</v>
      </c>
      <c r="O31">
        <v>16.260000000000002</v>
      </c>
      <c r="P31">
        <v>15.76</v>
      </c>
      <c r="Q31">
        <v>22</v>
      </c>
    </row>
    <row r="32" spans="1:17">
      <c r="A32" t="s">
        <v>66</v>
      </c>
      <c r="B32" t="s">
        <v>18</v>
      </c>
      <c r="C32">
        <v>67</v>
      </c>
      <c r="D32" t="s">
        <v>27</v>
      </c>
      <c r="E32" t="s">
        <v>67</v>
      </c>
      <c r="F32" t="s">
        <v>37</v>
      </c>
      <c r="G32" t="s">
        <v>22</v>
      </c>
      <c r="I32">
        <v>149</v>
      </c>
      <c r="J32">
        <v>0</v>
      </c>
      <c r="K32" t="s">
        <v>40</v>
      </c>
      <c r="L32">
        <v>36.5</v>
      </c>
      <c r="M32">
        <v>8.43</v>
      </c>
      <c r="N32">
        <v>7.83</v>
      </c>
      <c r="O32">
        <v>21.66</v>
      </c>
      <c r="P32">
        <v>19.600000000000001</v>
      </c>
      <c r="Q32">
        <v>29</v>
      </c>
    </row>
    <row r="33" spans="1:17">
      <c r="A33" t="s">
        <v>68</v>
      </c>
      <c r="B33" t="s">
        <v>18</v>
      </c>
      <c r="C33">
        <v>60</v>
      </c>
      <c r="D33" t="s">
        <v>27</v>
      </c>
      <c r="E33" t="s">
        <v>20</v>
      </c>
      <c r="F33" t="s">
        <v>21</v>
      </c>
      <c r="G33" t="s">
        <v>22</v>
      </c>
      <c r="H33">
        <v>50.9</v>
      </c>
      <c r="I33">
        <v>156</v>
      </c>
      <c r="J33">
        <v>0</v>
      </c>
      <c r="K33" t="s">
        <v>23</v>
      </c>
      <c r="L33">
        <v>22</v>
      </c>
      <c r="M33">
        <v>6.7</v>
      </c>
      <c r="N33">
        <v>9.33</v>
      </c>
      <c r="O33">
        <v>13.7</v>
      </c>
      <c r="P33">
        <v>17.329999999999998</v>
      </c>
      <c r="Q33">
        <v>26</v>
      </c>
    </row>
    <row r="34" spans="1:17" ht="29.25">
      <c r="A34" t="s">
        <v>69</v>
      </c>
      <c r="B34" t="s">
        <v>18</v>
      </c>
      <c r="C34">
        <v>78</v>
      </c>
      <c r="D34" t="s">
        <v>19</v>
      </c>
      <c r="E34" s="1" t="s">
        <v>42</v>
      </c>
      <c r="F34" t="s">
        <v>21</v>
      </c>
      <c r="G34" t="s">
        <v>22</v>
      </c>
      <c r="H34">
        <v>70</v>
      </c>
      <c r="I34">
        <v>158</v>
      </c>
      <c r="J34">
        <v>0</v>
      </c>
      <c r="K34" t="s">
        <v>23</v>
      </c>
      <c r="L34">
        <v>28.5</v>
      </c>
      <c r="M34">
        <v>10.45</v>
      </c>
      <c r="N34">
        <v>11.68</v>
      </c>
      <c r="O34">
        <v>20.23</v>
      </c>
      <c r="P34">
        <v>13.33</v>
      </c>
      <c r="Q34">
        <v>29</v>
      </c>
    </row>
    <row r="35" spans="1:17" ht="29.25">
      <c r="A35" t="s">
        <v>70</v>
      </c>
      <c r="B35" t="s">
        <v>18</v>
      </c>
      <c r="C35">
        <v>72</v>
      </c>
      <c r="D35" t="s">
        <v>19</v>
      </c>
      <c r="E35" t="s">
        <v>34</v>
      </c>
      <c r="F35" s="1" t="s">
        <v>45</v>
      </c>
      <c r="G35" t="s">
        <v>22</v>
      </c>
      <c r="H35">
        <v>58</v>
      </c>
      <c r="I35">
        <v>157</v>
      </c>
      <c r="J35">
        <v>0</v>
      </c>
      <c r="K35" t="s">
        <v>23</v>
      </c>
      <c r="L35">
        <v>28.5</v>
      </c>
      <c r="M35">
        <v>9.98</v>
      </c>
      <c r="N35">
        <v>12.68</v>
      </c>
      <c r="O35">
        <v>20.73</v>
      </c>
      <c r="P35">
        <v>20.43</v>
      </c>
      <c r="Q35">
        <v>27</v>
      </c>
    </row>
    <row r="36" spans="1:17">
      <c r="A36" t="s">
        <v>71</v>
      </c>
      <c r="B36" t="s">
        <v>18</v>
      </c>
      <c r="C36">
        <v>68</v>
      </c>
      <c r="D36" t="s">
        <v>19</v>
      </c>
      <c r="E36" t="s">
        <v>34</v>
      </c>
      <c r="F36" t="s">
        <v>37</v>
      </c>
      <c r="G36" t="s">
        <v>22</v>
      </c>
      <c r="H36">
        <v>67</v>
      </c>
      <c r="I36">
        <v>162</v>
      </c>
      <c r="J36">
        <v>0</v>
      </c>
      <c r="K36" t="s">
        <v>23</v>
      </c>
      <c r="L36">
        <v>25.5</v>
      </c>
      <c r="M36">
        <v>10.48</v>
      </c>
      <c r="N36">
        <v>9.81</v>
      </c>
      <c r="O36">
        <v>18.760000000000002</v>
      </c>
      <c r="P36">
        <v>13.96</v>
      </c>
      <c r="Q36">
        <v>27</v>
      </c>
    </row>
    <row r="37" spans="1:17">
      <c r="A37" t="s">
        <v>72</v>
      </c>
      <c r="B37" t="s">
        <v>18</v>
      </c>
      <c r="C37">
        <v>66</v>
      </c>
      <c r="D37" t="s">
        <v>19</v>
      </c>
      <c r="E37" t="s">
        <v>67</v>
      </c>
      <c r="F37" t="s">
        <v>21</v>
      </c>
      <c r="G37" t="s">
        <v>22</v>
      </c>
      <c r="H37">
        <v>51.3</v>
      </c>
      <c r="I37">
        <v>154</v>
      </c>
      <c r="J37">
        <v>0</v>
      </c>
      <c r="K37" t="s">
        <v>23</v>
      </c>
      <c r="L37">
        <v>27</v>
      </c>
      <c r="M37">
        <v>8.15</v>
      </c>
      <c r="N37">
        <v>7.85</v>
      </c>
      <c r="O37">
        <v>23.26</v>
      </c>
      <c r="P37">
        <v>22.56</v>
      </c>
      <c r="Q37">
        <v>28</v>
      </c>
    </row>
    <row r="38" spans="1:17">
      <c r="A38" t="s">
        <v>73</v>
      </c>
      <c r="B38" t="s">
        <v>18</v>
      </c>
      <c r="C38">
        <v>62</v>
      </c>
      <c r="D38" t="s">
        <v>19</v>
      </c>
      <c r="E38" t="s">
        <v>67</v>
      </c>
      <c r="F38" t="s">
        <v>21</v>
      </c>
      <c r="G38" t="s">
        <v>22</v>
      </c>
      <c r="H38">
        <v>66</v>
      </c>
      <c r="I38">
        <v>159</v>
      </c>
      <c r="J38">
        <v>0</v>
      </c>
      <c r="K38" t="s">
        <v>23</v>
      </c>
      <c r="L38">
        <v>34</v>
      </c>
      <c r="M38">
        <v>6.25</v>
      </c>
      <c r="N38">
        <v>7.3</v>
      </c>
      <c r="O38">
        <v>27.8</v>
      </c>
      <c r="P38">
        <v>20.23</v>
      </c>
      <c r="Q38">
        <v>29</v>
      </c>
    </row>
    <row r="39" spans="1:17">
      <c r="A39" t="s">
        <v>74</v>
      </c>
      <c r="B39" t="s">
        <v>18</v>
      </c>
      <c r="C39">
        <v>69</v>
      </c>
      <c r="D39" t="s">
        <v>19</v>
      </c>
      <c r="E39" t="s">
        <v>20</v>
      </c>
      <c r="F39" t="s">
        <v>37</v>
      </c>
      <c r="G39" t="s">
        <v>22</v>
      </c>
      <c r="H39">
        <v>52.9</v>
      </c>
      <c r="I39">
        <v>152</v>
      </c>
      <c r="J39">
        <v>0</v>
      </c>
      <c r="K39" t="s">
        <v>23</v>
      </c>
      <c r="L39">
        <v>21.5</v>
      </c>
      <c r="M39">
        <v>8.68</v>
      </c>
      <c r="N39">
        <v>13.1</v>
      </c>
      <c r="O39">
        <v>14.5</v>
      </c>
      <c r="P39">
        <v>10.26</v>
      </c>
      <c r="Q39">
        <v>25</v>
      </c>
    </row>
    <row r="40" spans="1:17">
      <c r="A40" t="s">
        <v>75</v>
      </c>
      <c r="B40" t="s">
        <v>32</v>
      </c>
      <c r="C40">
        <v>60</v>
      </c>
      <c r="D40" t="s">
        <v>19</v>
      </c>
      <c r="E40" t="s">
        <v>67</v>
      </c>
      <c r="F40" t="s">
        <v>21</v>
      </c>
      <c r="G40" t="s">
        <v>22</v>
      </c>
      <c r="H40">
        <v>73</v>
      </c>
      <c r="I40">
        <v>174</v>
      </c>
      <c r="J40">
        <v>0</v>
      </c>
      <c r="K40" t="s">
        <v>29</v>
      </c>
      <c r="L40">
        <v>40.5</v>
      </c>
      <c r="M40">
        <v>6.61</v>
      </c>
      <c r="N40">
        <v>8.33</v>
      </c>
      <c r="O40">
        <v>27.33</v>
      </c>
      <c r="P40">
        <v>16.46</v>
      </c>
      <c r="Q40">
        <v>28</v>
      </c>
    </row>
    <row r="41" spans="1:17">
      <c r="A41" t="s">
        <v>76</v>
      </c>
      <c r="B41" t="s">
        <v>18</v>
      </c>
      <c r="C41">
        <v>75</v>
      </c>
      <c r="D41" t="s">
        <v>27</v>
      </c>
      <c r="E41" t="s">
        <v>20</v>
      </c>
      <c r="F41" t="s">
        <v>21</v>
      </c>
      <c r="G41" t="s">
        <v>22</v>
      </c>
      <c r="H41">
        <v>64.400000000000006</v>
      </c>
      <c r="I41">
        <v>145</v>
      </c>
      <c r="J41">
        <v>0</v>
      </c>
      <c r="K41" t="s">
        <v>29</v>
      </c>
      <c r="L41">
        <v>26</v>
      </c>
      <c r="M41">
        <v>13.91</v>
      </c>
      <c r="N41">
        <v>13.89</v>
      </c>
      <c r="O41">
        <v>20.3</v>
      </c>
      <c r="P41">
        <v>20.83</v>
      </c>
      <c r="Q41">
        <v>27</v>
      </c>
    </row>
    <row r="42" spans="1:17" ht="29.25">
      <c r="A42" t="s">
        <v>77</v>
      </c>
      <c r="B42" t="s">
        <v>18</v>
      </c>
      <c r="C42">
        <v>67</v>
      </c>
      <c r="D42" t="s">
        <v>19</v>
      </c>
      <c r="E42" s="1" t="s">
        <v>42</v>
      </c>
      <c r="F42" t="s">
        <v>21</v>
      </c>
      <c r="G42" t="s">
        <v>22</v>
      </c>
      <c r="H42">
        <v>49.5</v>
      </c>
      <c r="I42">
        <v>151</v>
      </c>
      <c r="J42">
        <v>0</v>
      </c>
      <c r="K42" t="s">
        <v>23</v>
      </c>
      <c r="L42">
        <v>14.5</v>
      </c>
      <c r="M42">
        <v>9.91</v>
      </c>
      <c r="N42">
        <v>14.18</v>
      </c>
      <c r="O42">
        <v>17.53</v>
      </c>
      <c r="P42">
        <v>16.100000000000001</v>
      </c>
      <c r="Q42">
        <v>27</v>
      </c>
    </row>
    <row r="43" spans="1:17">
      <c r="A43" t="s">
        <v>78</v>
      </c>
      <c r="B43" t="s">
        <v>18</v>
      </c>
      <c r="C43">
        <v>80</v>
      </c>
      <c r="D43" t="s">
        <v>27</v>
      </c>
      <c r="E43" t="s">
        <v>20</v>
      </c>
      <c r="F43" t="s">
        <v>21</v>
      </c>
      <c r="G43" t="s">
        <v>22</v>
      </c>
      <c r="J43">
        <v>0</v>
      </c>
      <c r="K43" t="s">
        <v>29</v>
      </c>
      <c r="L43">
        <v>7</v>
      </c>
      <c r="M43">
        <v>17.920000000000002</v>
      </c>
      <c r="N43">
        <v>22.58</v>
      </c>
      <c r="O43">
        <v>12.96</v>
      </c>
      <c r="P43">
        <v>10.73</v>
      </c>
      <c r="Q43">
        <v>14</v>
      </c>
    </row>
    <row r="44" spans="1:17">
      <c r="A44" t="s">
        <v>79</v>
      </c>
      <c r="B44" t="s">
        <v>18</v>
      </c>
      <c r="C44">
        <v>72</v>
      </c>
      <c r="D44" t="s">
        <v>19</v>
      </c>
      <c r="E44" t="s">
        <v>67</v>
      </c>
      <c r="F44" t="s">
        <v>37</v>
      </c>
      <c r="G44" t="s">
        <v>22</v>
      </c>
      <c r="H44">
        <v>43.6</v>
      </c>
      <c r="I44">
        <v>147</v>
      </c>
      <c r="J44">
        <v>0</v>
      </c>
      <c r="K44" t="s">
        <v>29</v>
      </c>
      <c r="L44">
        <v>28</v>
      </c>
      <c r="M44">
        <v>7.85</v>
      </c>
      <c r="N44">
        <v>7.55</v>
      </c>
      <c r="O44">
        <v>23.56</v>
      </c>
      <c r="P44">
        <v>17.23</v>
      </c>
      <c r="Q44">
        <v>28</v>
      </c>
    </row>
    <row r="45" spans="1:17">
      <c r="A45" t="s">
        <v>80</v>
      </c>
      <c r="B45" t="s">
        <v>18</v>
      </c>
      <c r="C45">
        <v>65</v>
      </c>
      <c r="D45" t="s">
        <v>44</v>
      </c>
      <c r="E45" t="s">
        <v>34</v>
      </c>
      <c r="F45" t="s">
        <v>21</v>
      </c>
      <c r="G45" t="s">
        <v>22</v>
      </c>
      <c r="H45">
        <v>39</v>
      </c>
      <c r="I45">
        <v>154</v>
      </c>
      <c r="J45">
        <v>0</v>
      </c>
      <c r="K45" t="s">
        <v>35</v>
      </c>
      <c r="L45">
        <v>29.5</v>
      </c>
      <c r="M45">
        <v>8.4600000000000009</v>
      </c>
      <c r="N45">
        <v>9.35</v>
      </c>
      <c r="O45">
        <v>15.53</v>
      </c>
      <c r="P45">
        <v>14.9</v>
      </c>
      <c r="Q45">
        <v>28</v>
      </c>
    </row>
    <row r="46" spans="1:17">
      <c r="A46" t="s">
        <v>81</v>
      </c>
      <c r="B46" t="s">
        <v>18</v>
      </c>
      <c r="C46">
        <v>82</v>
      </c>
      <c r="D46" t="s">
        <v>44</v>
      </c>
      <c r="E46" t="s">
        <v>25</v>
      </c>
      <c r="F46" t="s">
        <v>21</v>
      </c>
      <c r="G46" t="s">
        <v>22</v>
      </c>
      <c r="H46">
        <v>47</v>
      </c>
      <c r="J46">
        <v>0</v>
      </c>
      <c r="K46" t="s">
        <v>40</v>
      </c>
      <c r="L46">
        <v>21</v>
      </c>
      <c r="M46">
        <v>13.46</v>
      </c>
      <c r="N46">
        <v>14.55</v>
      </c>
      <c r="O46">
        <v>18.63</v>
      </c>
      <c r="P46">
        <v>18.059999999999999</v>
      </c>
      <c r="Q46">
        <v>19</v>
      </c>
    </row>
    <row r="47" spans="1:17">
      <c r="A47" t="s">
        <v>82</v>
      </c>
      <c r="B47" t="s">
        <v>18</v>
      </c>
      <c r="C47">
        <v>66</v>
      </c>
      <c r="D47" t="s">
        <v>19</v>
      </c>
      <c r="E47" t="s">
        <v>34</v>
      </c>
      <c r="F47" t="s">
        <v>21</v>
      </c>
      <c r="G47" t="s">
        <v>22</v>
      </c>
      <c r="J47">
        <v>0</v>
      </c>
      <c r="K47" t="s">
        <v>23</v>
      </c>
      <c r="L47">
        <v>22</v>
      </c>
      <c r="M47">
        <v>11.13</v>
      </c>
      <c r="N47">
        <v>15.73</v>
      </c>
      <c r="O47">
        <v>21.16</v>
      </c>
      <c r="P47">
        <v>17.43</v>
      </c>
      <c r="Q47">
        <v>25</v>
      </c>
    </row>
    <row r="48" spans="1:17">
      <c r="A48" t="s">
        <v>83</v>
      </c>
      <c r="B48" t="s">
        <v>18</v>
      </c>
      <c r="C48">
        <v>71</v>
      </c>
      <c r="D48" t="s">
        <v>44</v>
      </c>
      <c r="E48" t="s">
        <v>67</v>
      </c>
      <c r="F48" t="s">
        <v>21</v>
      </c>
      <c r="G48" t="s">
        <v>22</v>
      </c>
      <c r="H48">
        <v>63</v>
      </c>
      <c r="I48">
        <v>146</v>
      </c>
      <c r="J48">
        <v>0</v>
      </c>
      <c r="K48" t="s">
        <v>23</v>
      </c>
      <c r="L48">
        <v>23.5</v>
      </c>
      <c r="M48">
        <v>9.15</v>
      </c>
      <c r="N48">
        <v>9.4499999999999993</v>
      </c>
      <c r="O48">
        <v>16.760000000000002</v>
      </c>
      <c r="P48">
        <v>13.26</v>
      </c>
      <c r="Q48">
        <v>28</v>
      </c>
    </row>
    <row r="49" spans="1:17">
      <c r="A49" t="s">
        <v>84</v>
      </c>
      <c r="B49" t="s">
        <v>18</v>
      </c>
      <c r="C49">
        <v>75</v>
      </c>
      <c r="D49" t="s">
        <v>19</v>
      </c>
      <c r="E49" t="s">
        <v>34</v>
      </c>
      <c r="F49" t="s">
        <v>21</v>
      </c>
      <c r="G49" t="s">
        <v>22</v>
      </c>
      <c r="H49">
        <v>60</v>
      </c>
      <c r="I49">
        <v>157</v>
      </c>
      <c r="J49">
        <v>0</v>
      </c>
      <c r="K49" t="s">
        <v>23</v>
      </c>
      <c r="L49">
        <v>17.5</v>
      </c>
      <c r="M49">
        <v>8.1</v>
      </c>
      <c r="N49">
        <v>11.15</v>
      </c>
      <c r="O49">
        <v>19.66</v>
      </c>
      <c r="P49">
        <v>17.03</v>
      </c>
      <c r="Q49">
        <v>26</v>
      </c>
    </row>
    <row r="50" spans="1:17">
      <c r="A50" t="s">
        <v>85</v>
      </c>
      <c r="B50" t="s">
        <v>32</v>
      </c>
      <c r="C50">
        <v>82</v>
      </c>
      <c r="D50" t="s">
        <v>19</v>
      </c>
      <c r="E50" t="s">
        <v>34</v>
      </c>
      <c r="F50" t="s">
        <v>21</v>
      </c>
      <c r="G50" t="s">
        <v>22</v>
      </c>
      <c r="H50">
        <v>67.599999999999994</v>
      </c>
      <c r="I50">
        <v>161</v>
      </c>
      <c r="J50">
        <v>0</v>
      </c>
      <c r="K50" t="s">
        <v>35</v>
      </c>
      <c r="L50">
        <v>21.5</v>
      </c>
      <c r="M50">
        <v>15.78</v>
      </c>
      <c r="N50">
        <v>12.2</v>
      </c>
      <c r="O50">
        <v>15.9</v>
      </c>
      <c r="P50">
        <v>20.43</v>
      </c>
      <c r="Q50">
        <v>26</v>
      </c>
    </row>
    <row r="51" spans="1:17">
      <c r="A51" t="s">
        <v>86</v>
      </c>
      <c r="B51" t="s">
        <v>18</v>
      </c>
      <c r="C51">
        <v>78</v>
      </c>
      <c r="D51" t="s">
        <v>19</v>
      </c>
      <c r="E51" t="s">
        <v>34</v>
      </c>
      <c r="F51" t="s">
        <v>21</v>
      </c>
      <c r="G51" t="s">
        <v>22</v>
      </c>
      <c r="H51">
        <v>53.4</v>
      </c>
      <c r="I51">
        <v>156</v>
      </c>
      <c r="J51">
        <v>0</v>
      </c>
      <c r="K51" t="s">
        <v>23</v>
      </c>
      <c r="L51">
        <v>24</v>
      </c>
      <c r="M51">
        <v>10.3</v>
      </c>
      <c r="N51">
        <v>11.63</v>
      </c>
      <c r="O51">
        <v>15.46</v>
      </c>
      <c r="P51">
        <v>16.03</v>
      </c>
      <c r="Q51">
        <v>28</v>
      </c>
    </row>
    <row r="52" spans="1:17">
      <c r="A52" t="s">
        <v>87</v>
      </c>
      <c r="B52" t="s">
        <v>18</v>
      </c>
      <c r="C52">
        <v>70</v>
      </c>
      <c r="D52" t="s">
        <v>44</v>
      </c>
      <c r="E52" t="s">
        <v>20</v>
      </c>
      <c r="F52" t="s">
        <v>21</v>
      </c>
      <c r="G52" t="s">
        <v>22</v>
      </c>
      <c r="H52">
        <v>57</v>
      </c>
      <c r="I52">
        <v>144</v>
      </c>
      <c r="J52">
        <v>0</v>
      </c>
      <c r="K52" t="s">
        <v>23</v>
      </c>
      <c r="L52">
        <v>20</v>
      </c>
      <c r="M52">
        <v>8.6</v>
      </c>
      <c r="N52">
        <v>10.26</v>
      </c>
      <c r="O52">
        <v>19.16</v>
      </c>
      <c r="P52">
        <v>23.36</v>
      </c>
      <c r="Q52">
        <v>30</v>
      </c>
    </row>
    <row r="53" spans="1:17">
      <c r="A53" t="s">
        <v>88</v>
      </c>
      <c r="B53" t="s">
        <v>18</v>
      </c>
      <c r="C53">
        <v>69</v>
      </c>
      <c r="D53" t="s">
        <v>19</v>
      </c>
      <c r="E53" t="s">
        <v>67</v>
      </c>
      <c r="F53" t="s">
        <v>21</v>
      </c>
      <c r="G53" t="s">
        <v>22</v>
      </c>
      <c r="H53">
        <v>44</v>
      </c>
      <c r="I53">
        <v>160</v>
      </c>
      <c r="J53">
        <v>0</v>
      </c>
      <c r="K53" t="s">
        <v>23</v>
      </c>
      <c r="L53">
        <v>31</v>
      </c>
      <c r="M53">
        <v>8.06</v>
      </c>
      <c r="N53">
        <v>14.48</v>
      </c>
      <c r="O53">
        <v>23.33</v>
      </c>
      <c r="P53">
        <v>20.93</v>
      </c>
      <c r="Q53">
        <v>27</v>
      </c>
    </row>
    <row r="54" spans="1:17">
      <c r="A54" t="s">
        <v>89</v>
      </c>
      <c r="B54" t="s">
        <v>32</v>
      </c>
      <c r="C54">
        <v>79</v>
      </c>
      <c r="D54" t="s">
        <v>44</v>
      </c>
      <c r="E54" t="s">
        <v>34</v>
      </c>
      <c r="F54" t="s">
        <v>21</v>
      </c>
      <c r="G54" t="s">
        <v>22</v>
      </c>
      <c r="H54">
        <v>66</v>
      </c>
      <c r="I54">
        <v>172</v>
      </c>
      <c r="J54">
        <v>0</v>
      </c>
      <c r="K54" t="s">
        <v>35</v>
      </c>
      <c r="L54">
        <v>24</v>
      </c>
      <c r="M54">
        <v>8.68</v>
      </c>
      <c r="N54">
        <v>13.08</v>
      </c>
      <c r="O54">
        <v>17.559999999999999</v>
      </c>
      <c r="P54">
        <v>22.13</v>
      </c>
      <c r="Q54">
        <v>25</v>
      </c>
    </row>
    <row r="55" spans="1:17">
      <c r="A55" t="s">
        <v>90</v>
      </c>
      <c r="B55" t="s">
        <v>32</v>
      </c>
      <c r="C55">
        <v>83</v>
      </c>
      <c r="D55" t="s">
        <v>19</v>
      </c>
      <c r="E55" t="s">
        <v>20</v>
      </c>
      <c r="F55" t="s">
        <v>21</v>
      </c>
      <c r="G55" t="s">
        <v>22</v>
      </c>
      <c r="H55">
        <v>70.3</v>
      </c>
      <c r="I55">
        <v>167</v>
      </c>
      <c r="J55">
        <v>0</v>
      </c>
      <c r="K55" t="s">
        <v>29</v>
      </c>
      <c r="L55">
        <v>19.5</v>
      </c>
      <c r="M55">
        <v>12.11</v>
      </c>
      <c r="N55">
        <v>16.329999999999998</v>
      </c>
      <c r="O55">
        <v>28.6</v>
      </c>
      <c r="P55">
        <v>30.6</v>
      </c>
      <c r="Q55">
        <v>22</v>
      </c>
    </row>
    <row r="56" spans="1:17" ht="29.25">
      <c r="A56" t="s">
        <v>91</v>
      </c>
      <c r="B56" t="s">
        <v>32</v>
      </c>
      <c r="C56">
        <v>60</v>
      </c>
      <c r="D56" t="s">
        <v>44</v>
      </c>
      <c r="E56" s="1" t="s">
        <v>42</v>
      </c>
      <c r="F56" t="s">
        <v>21</v>
      </c>
      <c r="G56" t="s">
        <v>22</v>
      </c>
      <c r="H56">
        <v>61</v>
      </c>
      <c r="I56">
        <v>161</v>
      </c>
      <c r="J56">
        <v>0</v>
      </c>
      <c r="K56" t="s">
        <v>23</v>
      </c>
      <c r="L56">
        <v>26.5</v>
      </c>
      <c r="M56">
        <v>9.4600000000000009</v>
      </c>
      <c r="N56">
        <v>15.36</v>
      </c>
      <c r="O56">
        <v>36.53</v>
      </c>
      <c r="P56">
        <v>34.26</v>
      </c>
      <c r="Q56">
        <v>27</v>
      </c>
    </row>
    <row r="57" spans="1:17">
      <c r="A57" t="s">
        <v>92</v>
      </c>
      <c r="B57" t="s">
        <v>32</v>
      </c>
      <c r="C57">
        <v>71</v>
      </c>
      <c r="D57" t="s">
        <v>44</v>
      </c>
      <c r="E57" t="s">
        <v>34</v>
      </c>
      <c r="F57" t="s">
        <v>21</v>
      </c>
      <c r="G57" t="s">
        <v>22</v>
      </c>
      <c r="H57">
        <v>68</v>
      </c>
      <c r="I57">
        <v>174</v>
      </c>
      <c r="J57">
        <v>0</v>
      </c>
      <c r="K57" t="s">
        <v>29</v>
      </c>
      <c r="L57">
        <v>18</v>
      </c>
      <c r="M57">
        <v>8.66</v>
      </c>
      <c r="N57">
        <v>12.88</v>
      </c>
      <c r="O57">
        <v>36.06</v>
      </c>
      <c r="P57">
        <v>24.93</v>
      </c>
      <c r="Q57">
        <v>27</v>
      </c>
    </row>
    <row r="58" spans="1:17">
      <c r="A58" t="s">
        <v>93</v>
      </c>
      <c r="B58" t="s">
        <v>18</v>
      </c>
      <c r="C58">
        <v>72</v>
      </c>
      <c r="D58" t="s">
        <v>19</v>
      </c>
      <c r="E58" t="s">
        <v>25</v>
      </c>
      <c r="F58" t="s">
        <v>21</v>
      </c>
      <c r="G58" t="s">
        <v>22</v>
      </c>
      <c r="H58">
        <v>66</v>
      </c>
      <c r="I58">
        <v>149</v>
      </c>
      <c r="J58">
        <v>0</v>
      </c>
      <c r="K58" t="s">
        <v>35</v>
      </c>
      <c r="L58">
        <v>20.5</v>
      </c>
      <c r="M58">
        <v>8.9</v>
      </c>
      <c r="N58">
        <v>12.76</v>
      </c>
      <c r="O58">
        <v>24.16</v>
      </c>
      <c r="P58">
        <v>23.3</v>
      </c>
      <c r="Q58">
        <v>27</v>
      </c>
    </row>
    <row r="59" spans="1:17">
      <c r="A59" t="s">
        <v>94</v>
      </c>
      <c r="B59" t="s">
        <v>18</v>
      </c>
      <c r="C59">
        <v>70</v>
      </c>
      <c r="D59" t="s">
        <v>44</v>
      </c>
      <c r="E59" t="s">
        <v>34</v>
      </c>
      <c r="F59" t="s">
        <v>37</v>
      </c>
      <c r="G59" t="s">
        <v>22</v>
      </c>
      <c r="H59">
        <v>51</v>
      </c>
      <c r="I59">
        <v>150</v>
      </c>
      <c r="J59">
        <v>0</v>
      </c>
      <c r="K59" t="s">
        <v>23</v>
      </c>
      <c r="L59">
        <v>31.5</v>
      </c>
      <c r="M59">
        <v>7.18</v>
      </c>
      <c r="N59">
        <v>8.8000000000000007</v>
      </c>
      <c r="O59">
        <v>19.829999999999998</v>
      </c>
      <c r="P59">
        <v>18.829999999999998</v>
      </c>
      <c r="Q59">
        <v>29</v>
      </c>
    </row>
    <row r="60" spans="1:17">
      <c r="A60" t="s">
        <v>95</v>
      </c>
      <c r="B60" t="s">
        <v>18</v>
      </c>
      <c r="C60">
        <v>76</v>
      </c>
      <c r="D60" t="s">
        <v>27</v>
      </c>
      <c r="E60" t="s">
        <v>34</v>
      </c>
      <c r="F60" t="s">
        <v>21</v>
      </c>
      <c r="G60" t="s">
        <v>22</v>
      </c>
      <c r="H60">
        <v>79</v>
      </c>
      <c r="I60">
        <v>150</v>
      </c>
      <c r="J60">
        <v>0</v>
      </c>
      <c r="K60" t="s">
        <v>23</v>
      </c>
      <c r="L60">
        <v>20.5</v>
      </c>
      <c r="M60">
        <v>9.5299999999999994</v>
      </c>
      <c r="N60">
        <v>11.6</v>
      </c>
      <c r="O60">
        <v>10.36</v>
      </c>
      <c r="P60">
        <v>11.1</v>
      </c>
      <c r="Q60">
        <v>28</v>
      </c>
    </row>
    <row r="61" spans="1:17">
      <c r="A61" t="s">
        <v>96</v>
      </c>
      <c r="B61" t="s">
        <v>18</v>
      </c>
      <c r="C61">
        <v>84</v>
      </c>
      <c r="D61" t="s">
        <v>27</v>
      </c>
      <c r="E61" t="s">
        <v>25</v>
      </c>
      <c r="F61" t="s">
        <v>21</v>
      </c>
      <c r="G61" t="s">
        <v>22</v>
      </c>
      <c r="H61">
        <v>53</v>
      </c>
      <c r="I61">
        <v>157</v>
      </c>
      <c r="J61">
        <v>0</v>
      </c>
      <c r="K61" t="s">
        <v>23</v>
      </c>
      <c r="L61">
        <v>25</v>
      </c>
      <c r="M61">
        <v>13.43</v>
      </c>
      <c r="N61">
        <v>18.399999999999999</v>
      </c>
      <c r="O61">
        <v>13.93</v>
      </c>
      <c r="P61">
        <v>13.3</v>
      </c>
      <c r="Q61">
        <v>19</v>
      </c>
    </row>
    <row r="62" spans="1:17">
      <c r="A62" t="s">
        <v>97</v>
      </c>
      <c r="B62" t="s">
        <v>18</v>
      </c>
      <c r="C62">
        <v>70</v>
      </c>
      <c r="D62" t="s">
        <v>19</v>
      </c>
      <c r="E62" t="s">
        <v>34</v>
      </c>
      <c r="F62" t="s">
        <v>21</v>
      </c>
      <c r="G62" t="s">
        <v>22</v>
      </c>
      <c r="H62">
        <v>50</v>
      </c>
      <c r="J62">
        <v>0</v>
      </c>
      <c r="K62" t="s">
        <v>29</v>
      </c>
      <c r="L62">
        <v>26.5</v>
      </c>
      <c r="M62">
        <v>7.85</v>
      </c>
      <c r="N62">
        <v>9.5299999999999994</v>
      </c>
      <c r="O62">
        <v>17.53</v>
      </c>
      <c r="P62">
        <v>18.899999999999999</v>
      </c>
      <c r="Q62">
        <v>28</v>
      </c>
    </row>
    <row r="63" spans="1:17">
      <c r="A63" t="s">
        <v>98</v>
      </c>
      <c r="B63" t="s">
        <v>18</v>
      </c>
      <c r="C63">
        <v>82</v>
      </c>
      <c r="D63" t="s">
        <v>19</v>
      </c>
      <c r="E63" t="s">
        <v>34</v>
      </c>
      <c r="F63" t="s">
        <v>21</v>
      </c>
      <c r="G63" t="s">
        <v>22</v>
      </c>
      <c r="H63">
        <v>62</v>
      </c>
      <c r="I63">
        <v>160</v>
      </c>
      <c r="J63">
        <v>0</v>
      </c>
      <c r="K63" t="s">
        <v>35</v>
      </c>
      <c r="L63">
        <v>17</v>
      </c>
      <c r="M63">
        <v>14.21</v>
      </c>
      <c r="N63">
        <v>17.18</v>
      </c>
      <c r="O63">
        <v>25.96</v>
      </c>
      <c r="P63">
        <v>19.86</v>
      </c>
      <c r="Q63">
        <v>28</v>
      </c>
    </row>
    <row r="64" spans="1:17" ht="29.25">
      <c r="A64" t="s">
        <v>99</v>
      </c>
      <c r="B64" t="s">
        <v>18</v>
      </c>
      <c r="C64">
        <v>70</v>
      </c>
      <c r="D64" t="s">
        <v>27</v>
      </c>
      <c r="E64" t="s">
        <v>34</v>
      </c>
      <c r="F64" s="1" t="s">
        <v>45</v>
      </c>
      <c r="G64" t="s">
        <v>22</v>
      </c>
      <c r="H64">
        <v>51</v>
      </c>
      <c r="I64">
        <v>157</v>
      </c>
      <c r="J64">
        <v>0</v>
      </c>
      <c r="K64" t="s">
        <v>29</v>
      </c>
      <c r="L64">
        <v>30</v>
      </c>
      <c r="M64">
        <v>6.63</v>
      </c>
      <c r="N64">
        <v>6.9</v>
      </c>
      <c r="O64">
        <v>18.829999999999998</v>
      </c>
      <c r="P64">
        <v>19.66</v>
      </c>
      <c r="Q64">
        <v>28</v>
      </c>
    </row>
    <row r="65" spans="1:17" ht="29.25">
      <c r="A65" t="s">
        <v>100</v>
      </c>
      <c r="B65" t="s">
        <v>18</v>
      </c>
      <c r="C65">
        <v>69</v>
      </c>
      <c r="D65" t="s">
        <v>44</v>
      </c>
      <c r="E65" t="s">
        <v>34</v>
      </c>
      <c r="F65" s="1" t="s">
        <v>45</v>
      </c>
      <c r="G65" t="s">
        <v>22</v>
      </c>
      <c r="H65">
        <v>56</v>
      </c>
      <c r="I65">
        <v>156</v>
      </c>
      <c r="J65">
        <v>0</v>
      </c>
      <c r="K65" t="s">
        <v>23</v>
      </c>
      <c r="L65">
        <v>19.5</v>
      </c>
      <c r="M65">
        <v>9.23</v>
      </c>
      <c r="N65">
        <v>11.1</v>
      </c>
      <c r="O65">
        <v>14.6</v>
      </c>
      <c r="P65">
        <v>16.53</v>
      </c>
      <c r="Q65">
        <v>25</v>
      </c>
    </row>
    <row r="66" spans="1:17">
      <c r="A66" t="s">
        <v>101</v>
      </c>
      <c r="B66" t="s">
        <v>18</v>
      </c>
      <c r="C66">
        <v>75</v>
      </c>
      <c r="D66" t="s">
        <v>19</v>
      </c>
      <c r="E66" t="s">
        <v>20</v>
      </c>
      <c r="F66" t="s">
        <v>21</v>
      </c>
      <c r="G66" t="s">
        <v>22</v>
      </c>
      <c r="H66">
        <v>40</v>
      </c>
      <c r="I66">
        <v>147</v>
      </c>
      <c r="J66">
        <v>0</v>
      </c>
      <c r="K66" t="s">
        <v>23</v>
      </c>
      <c r="L66">
        <v>23</v>
      </c>
      <c r="M66">
        <v>8.81</v>
      </c>
      <c r="N66">
        <v>8.06</v>
      </c>
      <c r="O66">
        <v>18.16</v>
      </c>
      <c r="P66">
        <v>17.100000000000001</v>
      </c>
      <c r="Q66">
        <v>25</v>
      </c>
    </row>
    <row r="67" spans="1:17">
      <c r="A67" t="s">
        <v>102</v>
      </c>
      <c r="B67" t="s">
        <v>18</v>
      </c>
      <c r="C67">
        <v>78</v>
      </c>
      <c r="D67" t="s">
        <v>19</v>
      </c>
      <c r="E67" t="s">
        <v>34</v>
      </c>
      <c r="F67" t="s">
        <v>21</v>
      </c>
      <c r="G67" t="s">
        <v>22</v>
      </c>
      <c r="H67">
        <v>50</v>
      </c>
      <c r="I67">
        <v>152</v>
      </c>
      <c r="J67">
        <v>0</v>
      </c>
      <c r="K67" t="s">
        <v>23</v>
      </c>
      <c r="L67">
        <v>19.5</v>
      </c>
      <c r="M67">
        <v>9.73</v>
      </c>
      <c r="N67">
        <v>10.3</v>
      </c>
      <c r="O67">
        <v>23.76</v>
      </c>
      <c r="P67">
        <v>23.6</v>
      </c>
      <c r="Q67">
        <v>22</v>
      </c>
    </row>
    <row r="68" spans="1:17">
      <c r="A68" t="s">
        <v>103</v>
      </c>
      <c r="B68" t="s">
        <v>18</v>
      </c>
      <c r="C68">
        <v>73</v>
      </c>
      <c r="D68" t="s">
        <v>19</v>
      </c>
      <c r="E68" t="s">
        <v>20</v>
      </c>
      <c r="F68" t="s">
        <v>37</v>
      </c>
      <c r="G68" t="s">
        <v>22</v>
      </c>
      <c r="H68">
        <v>68</v>
      </c>
      <c r="I68">
        <v>152</v>
      </c>
      <c r="J68">
        <v>0</v>
      </c>
      <c r="K68" t="s">
        <v>23</v>
      </c>
      <c r="L68">
        <v>15.5</v>
      </c>
      <c r="M68">
        <v>9.91</v>
      </c>
      <c r="N68">
        <v>14.3</v>
      </c>
      <c r="O68">
        <v>18.329999999999998</v>
      </c>
      <c r="P68">
        <v>22.2</v>
      </c>
      <c r="Q68">
        <v>28</v>
      </c>
    </row>
    <row r="69" spans="1:17">
      <c r="A69" t="s">
        <v>104</v>
      </c>
      <c r="B69" t="s">
        <v>32</v>
      </c>
      <c r="C69">
        <v>74</v>
      </c>
      <c r="D69" t="s">
        <v>44</v>
      </c>
      <c r="E69" t="s">
        <v>20</v>
      </c>
      <c r="F69" t="s">
        <v>21</v>
      </c>
      <c r="G69" t="s">
        <v>22</v>
      </c>
      <c r="H69">
        <v>47.2</v>
      </c>
      <c r="I69">
        <v>168</v>
      </c>
      <c r="J69">
        <v>0</v>
      </c>
      <c r="K69" t="s">
        <v>29</v>
      </c>
      <c r="L69">
        <v>16.05</v>
      </c>
      <c r="M69">
        <v>8.81</v>
      </c>
      <c r="N69">
        <v>11.61</v>
      </c>
      <c r="O69">
        <v>20.6</v>
      </c>
      <c r="P69">
        <v>20.9</v>
      </c>
      <c r="Q69">
        <v>23</v>
      </c>
    </row>
    <row r="70" spans="1:17">
      <c r="A70" t="s">
        <v>105</v>
      </c>
      <c r="B70" t="s">
        <v>18</v>
      </c>
      <c r="C70">
        <v>83</v>
      </c>
      <c r="D70" t="s">
        <v>44</v>
      </c>
      <c r="E70" t="s">
        <v>25</v>
      </c>
      <c r="F70" t="s">
        <v>21</v>
      </c>
      <c r="G70" t="s">
        <v>22</v>
      </c>
      <c r="H70">
        <v>52.3</v>
      </c>
      <c r="I70">
        <v>158</v>
      </c>
      <c r="J70">
        <v>0</v>
      </c>
      <c r="K70" t="s">
        <v>23</v>
      </c>
      <c r="L70">
        <v>18.5</v>
      </c>
      <c r="M70">
        <v>12.31</v>
      </c>
      <c r="N70">
        <v>11.43</v>
      </c>
      <c r="O70">
        <v>18.23</v>
      </c>
      <c r="P70">
        <v>17.399999999999999</v>
      </c>
      <c r="Q70">
        <v>13</v>
      </c>
    </row>
    <row r="71" spans="1:17">
      <c r="A71" t="s">
        <v>106</v>
      </c>
      <c r="B71" t="s">
        <v>32</v>
      </c>
      <c r="C71">
        <v>79</v>
      </c>
      <c r="D71" t="s">
        <v>19</v>
      </c>
      <c r="E71" t="s">
        <v>20</v>
      </c>
      <c r="F71" t="s">
        <v>21</v>
      </c>
      <c r="G71" t="s">
        <v>22</v>
      </c>
      <c r="H71">
        <v>65</v>
      </c>
      <c r="I71">
        <v>168</v>
      </c>
      <c r="J71">
        <v>0</v>
      </c>
      <c r="K71" t="s">
        <v>23</v>
      </c>
      <c r="L71">
        <v>25</v>
      </c>
      <c r="M71">
        <v>11.9</v>
      </c>
      <c r="N71">
        <v>15.06</v>
      </c>
      <c r="O71">
        <v>30.9</v>
      </c>
      <c r="P71">
        <v>28.46</v>
      </c>
      <c r="Q71">
        <v>27</v>
      </c>
    </row>
    <row r="72" spans="1:17">
      <c r="A72" t="s">
        <v>107</v>
      </c>
      <c r="B72" t="s">
        <v>18</v>
      </c>
      <c r="C72">
        <v>77</v>
      </c>
      <c r="D72" t="s">
        <v>27</v>
      </c>
      <c r="E72" t="s">
        <v>20</v>
      </c>
      <c r="F72" t="s">
        <v>21</v>
      </c>
      <c r="G72" t="s">
        <v>22</v>
      </c>
      <c r="H72">
        <v>34</v>
      </c>
      <c r="I72">
        <v>150</v>
      </c>
      <c r="J72">
        <v>0</v>
      </c>
      <c r="K72" t="s">
        <v>23</v>
      </c>
      <c r="L72">
        <v>24</v>
      </c>
      <c r="M72">
        <v>9.15</v>
      </c>
      <c r="N72">
        <v>10.46</v>
      </c>
      <c r="O72">
        <v>17</v>
      </c>
      <c r="P72">
        <v>13.73</v>
      </c>
      <c r="Q72">
        <v>25</v>
      </c>
    </row>
    <row r="73" spans="1:17" ht="29.25">
      <c r="A73" t="s">
        <v>108</v>
      </c>
      <c r="B73" t="s">
        <v>18</v>
      </c>
      <c r="C73">
        <v>70</v>
      </c>
      <c r="D73" t="s">
        <v>27</v>
      </c>
      <c r="E73" t="s">
        <v>20</v>
      </c>
      <c r="F73" s="1" t="s">
        <v>45</v>
      </c>
      <c r="G73" t="s">
        <v>22</v>
      </c>
      <c r="H73">
        <v>65</v>
      </c>
      <c r="I73">
        <v>162</v>
      </c>
      <c r="J73">
        <v>0</v>
      </c>
      <c r="K73" t="s">
        <v>29</v>
      </c>
      <c r="L73">
        <v>26</v>
      </c>
      <c r="M73">
        <v>6.25</v>
      </c>
      <c r="N73">
        <v>8.98</v>
      </c>
      <c r="O73">
        <v>25.03</v>
      </c>
      <c r="P73">
        <v>19.13</v>
      </c>
      <c r="Q73">
        <v>28</v>
      </c>
    </row>
    <row r="74" spans="1:17">
      <c r="A74" t="s">
        <v>109</v>
      </c>
      <c r="B74" t="s">
        <v>18</v>
      </c>
      <c r="C74">
        <v>67</v>
      </c>
      <c r="D74" t="s">
        <v>44</v>
      </c>
      <c r="E74" t="s">
        <v>20</v>
      </c>
      <c r="F74" t="s">
        <v>21</v>
      </c>
      <c r="G74" t="s">
        <v>110</v>
      </c>
      <c r="H74">
        <v>54</v>
      </c>
      <c r="I74">
        <v>146</v>
      </c>
      <c r="J74">
        <v>0</v>
      </c>
      <c r="K74" t="s">
        <v>23</v>
      </c>
      <c r="L74">
        <v>34</v>
      </c>
      <c r="M74">
        <v>6.86</v>
      </c>
      <c r="N74">
        <v>7.81</v>
      </c>
      <c r="O74">
        <v>19.399999999999999</v>
      </c>
      <c r="P74">
        <v>18.559999999999999</v>
      </c>
      <c r="Q74">
        <v>26</v>
      </c>
    </row>
    <row r="75" spans="1:17" ht="29.25">
      <c r="A75" t="s">
        <v>111</v>
      </c>
      <c r="B75" t="s">
        <v>18</v>
      </c>
      <c r="C75">
        <v>83</v>
      </c>
      <c r="D75" t="s">
        <v>27</v>
      </c>
      <c r="E75" t="s">
        <v>20</v>
      </c>
      <c r="F75" s="1" t="s">
        <v>45</v>
      </c>
      <c r="G75" t="s">
        <v>22</v>
      </c>
      <c r="H75">
        <v>66</v>
      </c>
      <c r="I75">
        <v>153</v>
      </c>
      <c r="J75">
        <v>0</v>
      </c>
      <c r="K75" t="s">
        <v>23</v>
      </c>
      <c r="L75">
        <v>19</v>
      </c>
      <c r="M75">
        <v>15.85</v>
      </c>
      <c r="N75">
        <v>24.14</v>
      </c>
      <c r="O75">
        <v>13.1</v>
      </c>
      <c r="P75">
        <v>14.03</v>
      </c>
      <c r="Q75">
        <v>28</v>
      </c>
    </row>
    <row r="76" spans="1:17">
      <c r="A76" t="s">
        <v>112</v>
      </c>
      <c r="B76" t="s">
        <v>18</v>
      </c>
      <c r="C76">
        <v>65</v>
      </c>
      <c r="D76" t="s">
        <v>44</v>
      </c>
      <c r="E76" t="s">
        <v>20</v>
      </c>
      <c r="F76" t="s">
        <v>21</v>
      </c>
      <c r="G76" t="s">
        <v>22</v>
      </c>
      <c r="H76">
        <v>47</v>
      </c>
      <c r="I76">
        <v>151</v>
      </c>
      <c r="J76">
        <v>0</v>
      </c>
      <c r="K76" t="s">
        <v>40</v>
      </c>
      <c r="L76">
        <v>17.5</v>
      </c>
      <c r="M76">
        <v>10.95</v>
      </c>
      <c r="N76">
        <v>22.12</v>
      </c>
      <c r="O76">
        <v>11.86</v>
      </c>
      <c r="P76">
        <v>12.03</v>
      </c>
      <c r="Q76">
        <v>13</v>
      </c>
    </row>
    <row r="77" spans="1:17">
      <c r="A77" t="s">
        <v>113</v>
      </c>
      <c r="B77" t="s">
        <v>32</v>
      </c>
      <c r="C77">
        <v>70</v>
      </c>
      <c r="D77" t="s">
        <v>27</v>
      </c>
      <c r="E77" t="s">
        <v>34</v>
      </c>
      <c r="F77" t="s">
        <v>37</v>
      </c>
      <c r="G77" t="s">
        <v>114</v>
      </c>
      <c r="H77">
        <v>66</v>
      </c>
      <c r="I77">
        <v>167</v>
      </c>
      <c r="J77">
        <v>0</v>
      </c>
      <c r="K77" t="s">
        <v>35</v>
      </c>
      <c r="L77">
        <v>30</v>
      </c>
      <c r="M77">
        <v>8.85</v>
      </c>
      <c r="N77">
        <v>10.86</v>
      </c>
      <c r="O77">
        <v>36.229999999999997</v>
      </c>
      <c r="P77">
        <v>30.2</v>
      </c>
      <c r="Q77">
        <v>27</v>
      </c>
    </row>
    <row r="78" spans="1:17">
      <c r="A78" t="s">
        <v>115</v>
      </c>
      <c r="B78" t="s">
        <v>18</v>
      </c>
      <c r="C78">
        <v>70</v>
      </c>
      <c r="D78" t="s">
        <v>27</v>
      </c>
      <c r="E78" t="s">
        <v>67</v>
      </c>
      <c r="F78" t="s">
        <v>21</v>
      </c>
      <c r="G78" t="s">
        <v>22</v>
      </c>
      <c r="H78">
        <v>54</v>
      </c>
      <c r="I78">
        <v>156</v>
      </c>
      <c r="J78">
        <v>0</v>
      </c>
      <c r="K78" t="s">
        <v>23</v>
      </c>
      <c r="L78">
        <v>23</v>
      </c>
      <c r="M78">
        <v>9.0299999999999994</v>
      </c>
      <c r="N78">
        <v>12.03</v>
      </c>
      <c r="O78">
        <v>21.13</v>
      </c>
      <c r="P78">
        <v>17.63</v>
      </c>
      <c r="Q78">
        <v>28</v>
      </c>
    </row>
    <row r="79" spans="1:17">
      <c r="A79" t="s">
        <v>116</v>
      </c>
      <c r="B79" t="s">
        <v>18</v>
      </c>
      <c r="C79">
        <v>66</v>
      </c>
      <c r="D79" t="s">
        <v>44</v>
      </c>
      <c r="E79" t="s">
        <v>34</v>
      </c>
      <c r="F79" t="s">
        <v>21</v>
      </c>
      <c r="G79" t="s">
        <v>22</v>
      </c>
      <c r="H79">
        <v>56</v>
      </c>
      <c r="I79">
        <v>153</v>
      </c>
      <c r="J79">
        <v>0</v>
      </c>
      <c r="K79" t="s">
        <v>23</v>
      </c>
      <c r="L79">
        <v>23.5</v>
      </c>
      <c r="M79">
        <v>9.7799999999999994</v>
      </c>
      <c r="N79">
        <v>11.45</v>
      </c>
      <c r="O79">
        <v>13.4</v>
      </c>
      <c r="P79">
        <v>13.46</v>
      </c>
      <c r="Q79">
        <v>26</v>
      </c>
    </row>
    <row r="80" spans="1:17">
      <c r="A80" t="s">
        <v>117</v>
      </c>
      <c r="B80" t="s">
        <v>18</v>
      </c>
      <c r="C80">
        <v>73</v>
      </c>
      <c r="D80" t="s">
        <v>27</v>
      </c>
      <c r="E80" t="s">
        <v>20</v>
      </c>
      <c r="F80" t="s">
        <v>21</v>
      </c>
      <c r="G80" t="s">
        <v>22</v>
      </c>
      <c r="H80">
        <v>54</v>
      </c>
      <c r="I80">
        <v>162</v>
      </c>
      <c r="J80">
        <v>0</v>
      </c>
      <c r="K80" t="s">
        <v>29</v>
      </c>
      <c r="L80">
        <v>18.5</v>
      </c>
      <c r="M80">
        <v>9.4</v>
      </c>
      <c r="N80">
        <v>12.73</v>
      </c>
      <c r="O80">
        <v>16.600000000000001</v>
      </c>
      <c r="P80">
        <v>16.760000000000002</v>
      </c>
      <c r="Q80">
        <v>28</v>
      </c>
    </row>
    <row r="81" spans="1:17">
      <c r="A81" t="s">
        <v>118</v>
      </c>
      <c r="B81" t="s">
        <v>32</v>
      </c>
      <c r="C81">
        <v>75</v>
      </c>
      <c r="D81" t="s">
        <v>27</v>
      </c>
      <c r="E81" t="s">
        <v>34</v>
      </c>
      <c r="F81" t="s">
        <v>21</v>
      </c>
      <c r="G81" t="s">
        <v>22</v>
      </c>
      <c r="H81">
        <v>59.4</v>
      </c>
      <c r="I81">
        <v>166</v>
      </c>
      <c r="J81">
        <v>0</v>
      </c>
      <c r="K81" t="s">
        <v>35</v>
      </c>
      <c r="L81">
        <v>23.5</v>
      </c>
      <c r="M81">
        <v>13.08</v>
      </c>
      <c r="N81">
        <v>14.68</v>
      </c>
      <c r="O81">
        <v>20.399999999999999</v>
      </c>
      <c r="P81">
        <v>21.13</v>
      </c>
      <c r="Q81">
        <v>20</v>
      </c>
    </row>
    <row r="82" spans="1:17" ht="29.25">
      <c r="A82" t="s">
        <v>119</v>
      </c>
      <c r="B82" t="s">
        <v>18</v>
      </c>
      <c r="C82">
        <v>69</v>
      </c>
      <c r="D82" t="s">
        <v>27</v>
      </c>
      <c r="E82" s="1" t="s">
        <v>42</v>
      </c>
      <c r="F82" t="s">
        <v>21</v>
      </c>
      <c r="G82" t="s">
        <v>22</v>
      </c>
      <c r="H82">
        <v>53</v>
      </c>
      <c r="I82">
        <v>158</v>
      </c>
      <c r="J82">
        <v>0</v>
      </c>
      <c r="K82" t="s">
        <v>35</v>
      </c>
      <c r="L82">
        <v>28.5</v>
      </c>
      <c r="M82">
        <v>8.2100000000000009</v>
      </c>
      <c r="N82">
        <v>13.41</v>
      </c>
      <c r="O82">
        <v>19.86</v>
      </c>
      <c r="P82">
        <v>18.899999999999999</v>
      </c>
      <c r="Q82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2380E4490AC64591A8194FB296653D" ma:contentTypeVersion="11" ma:contentTypeDescription="Create a new document." ma:contentTypeScope="" ma:versionID="607ab55c3b305ef0fc54ca31e71983dd">
  <xsd:schema xmlns:xsd="http://www.w3.org/2001/XMLSchema" xmlns:xs="http://www.w3.org/2001/XMLSchema" xmlns:p="http://schemas.microsoft.com/office/2006/metadata/properties" xmlns:ns2="84731998-86ca-4279-867e-b78e79659c44" xmlns:ns3="1c9d7ee1-7a73-44f5-af8c-f37cfba54116" targetNamespace="http://schemas.microsoft.com/office/2006/metadata/properties" ma:root="true" ma:fieldsID="ecd7e15a0c9e36815d1fddb9ebb6cc17" ns2:_="" ns3:_="">
    <xsd:import namespace="84731998-86ca-4279-867e-b78e79659c44"/>
    <xsd:import namespace="1c9d7ee1-7a73-44f5-af8c-f37cfba54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31998-86ca-4279-867e-b78e79659c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d7ee1-7a73-44f5-af8c-f37cfba541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0d67d7-0035-402d-80ab-3975dbe38e82}" ma:internalName="TaxCatchAll" ma:showField="CatchAllData" ma:web="1c9d7ee1-7a73-44f5-af8c-f37cfba54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9d7ee1-7a73-44f5-af8c-f37cfba54116" xsi:nil="true"/>
    <lcf76f155ced4ddcb4097134ff3c332f xmlns="84731998-86ca-4279-867e-b78e79659c4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DA73CF-720E-443A-9628-D36F01D8CC02}"/>
</file>

<file path=customXml/itemProps2.xml><?xml version="1.0" encoding="utf-8"?>
<ds:datastoreItem xmlns:ds="http://schemas.openxmlformats.org/officeDocument/2006/customXml" ds:itemID="{653F917C-A158-4924-929D-F6B496FECC83}"/>
</file>

<file path=customXml/itemProps3.xml><?xml version="1.0" encoding="utf-8"?>
<ds:datastoreItem xmlns:ds="http://schemas.openxmlformats.org/officeDocument/2006/customXml" ds:itemID="{22DF4235-CB0E-4DE3-86A4-72DE7F8D76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Leong Qian Ning</cp:lastModifiedBy>
  <cp:revision/>
  <dcterms:created xsi:type="dcterms:W3CDTF">2025-03-26T05:41:12Z</dcterms:created>
  <dcterms:modified xsi:type="dcterms:W3CDTF">2025-04-24T02:14:15Z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0x010100172380E4490AC64591A8194FB296653D</vt:lpwstr>
  </property>
  <property fmtid="{D5CDD505-2E9C-101B-9397-08002B2CF9AE}" pid="3" name="MediaServiceImageTags">
    <vt:lpwstr/>
  </property>
</Properties>
</file>